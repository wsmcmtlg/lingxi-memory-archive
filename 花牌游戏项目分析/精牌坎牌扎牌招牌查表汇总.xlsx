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BW\Documents\lingxi-claw\users\7022512\projects\11672630128672961\workspace\花牌游戏项目分析\"/>
    </mc:Choice>
  </mc:AlternateContent>
  <bookViews>
    <workbookView windowHeight="10480"/>
  </bookViews>
  <sheets>
    <sheet name="红精坎牌" sheetId="1" r:id="rId1"/>
    <sheet name="红精扎牌招牌" sheetId="2" r:id="rId2"/>
    <sheet name="黑精与基础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<sst xmlns="http://schemas.openxmlformats.org/spreadsheetml/2006/main" count="107" uniqueCount="72">
  <si>
    <t>红精（三/五/七）坎牌查表 — 8 种可达组合</t>
  </si>
  <si>
    <t>主精 = 非主精 × 2（公式自动计算）；每种精牌最多 3皮2花、赖子全局最多 2 张</t>
  </si>
  <si>
    <t>组合</t>
  </si>
  <si>
    <t>皮数</t>
  </si>
  <si>
    <t>花数</t>
  </si>
  <si>
    <t>赖数</t>
  </si>
  <si>
    <t>非主精</t>
  </si>
  <si>
    <t>主精</t>
  </si>
  <si>
    <t>JS key（花_皮_赖）</t>
  </si>
  <si>
    <t>1花2赖</t>
  </si>
  <si>
    <t>1_0_2</t>
  </si>
  <si>
    <t>2花1赖</t>
  </si>
  <si>
    <t>2_0_1</t>
  </si>
  <si>
    <t>1皮2花</t>
  </si>
  <si>
    <t>2_1_0</t>
  </si>
  <si>
    <t>1皮1花1赖</t>
  </si>
  <si>
    <t>1_1_1</t>
  </si>
  <si>
    <t>1皮2赖</t>
  </si>
  <si>
    <t>0_1_2</t>
  </si>
  <si>
    <t>2皮1花</t>
  </si>
  <si>
    <t>1_2_0</t>
  </si>
  <si>
    <t>2皮1赖</t>
  </si>
  <si>
    <t>0_2_1</t>
  </si>
  <si>
    <t>3皮</t>
  </si>
  <si>
    <t>0_3_0</t>
  </si>
  <si>
    <t>红精（三/五/七）扎牌 / 招牌查表 — 8 种可达组合</t>
  </si>
  <si>
    <t>2花2赖</t>
  </si>
  <si>
    <t>2_0_2</t>
  </si>
  <si>
    <t>1皮1花2赖</t>
  </si>
  <si>
    <t>1_1_2</t>
  </si>
  <si>
    <t>1皮2花1赖</t>
  </si>
  <si>
    <t>2_1_1</t>
  </si>
  <si>
    <t>2皮2花</t>
  </si>
  <si>
    <t>2_2_0</t>
  </si>
  <si>
    <t>2皮2赖</t>
  </si>
  <si>
    <t>0_2_2</t>
  </si>
  <si>
    <t>2皮1花1赖</t>
  </si>
  <si>
    <t>1_2_1</t>
  </si>
  <si>
    <t>3皮1花</t>
  </si>
  <si>
    <t>1_3_0</t>
  </si>
  <si>
    <t>3皮1赖</t>
  </si>
  <si>
    <t>0_3_1</t>
  </si>
  <si>
    <t>黑精（乙/九）坎牌 / 扎牌 / 招牌查表 + 非精字面基础胡</t>
  </si>
  <si>
    <t>黑精无赖子组合（赖子不能通配乙/九）</t>
  </si>
  <si>
    <t>黑精坎牌（3张）</t>
  </si>
  <si>
    <t>胡数</t>
  </si>
  <si>
    <t>黑精扎牌 / 招牌（4张，共用一张表）</t>
  </si>
  <si>
    <t>注：黑精（乙/九）不能作为主精（游戏规则限制），恒按非主精计胡，无主精翻倍。</t>
  </si>
  <si>
    <t>非精字面基础胡（无精牌加成）</t>
  </si>
  <si>
    <t>牌型</t>
  </si>
  <si>
    <t>红字面</t>
  </si>
  <si>
    <t>黑字面</t>
  </si>
  <si>
    <t/>
  </si>
  <si>
    <t>坎牌（3张）</t>
  </si>
  <si>
    <t>扎牌/招牌（4张）</t>
  </si>
  <si>
    <t>适用范围</t>
  </si>
  <si>
    <t>· 坎牌 = 3 张同字（手中暗牌，可灵活调整）</t>
  </si>
  <si>
    <t>· 扎牌（暗杠）= 招牌（明杠）= 4 张同字，共用一张表，胡数相同</t>
  </si>
  <si>
    <t>· 主精 = 非主精 × 2（红精、黑精均成立）</t>
  </si>
  <si>
    <t>· 每种精牌最多 3皮 + 2花；赖子全局最多 2 张</t>
  </si>
  <si>
    <t>· 赖子只能通配三/五/七（红精），不能配乙/九（黑精）</t>
  </si>
  <si>
    <t>· 招牌（明牌）不参与赖子；扎牌（暗杠）可含赖子，两者共用表无冲突</t>
  </si>
  <si>
    <t>代码位置</t>
  </si>
  <si>
    <t>· JS 红精表：JING_RED_TABLE['kan'] / ['zhao']（step5-hu.html）</t>
  </si>
  <si>
    <t>· JS 黑精表：JING_BLACK_TABLE['kan'] / ['zhao']（step5-hu.html）</t>
  </si>
  <si>
    <t>· Python 红精表：_RED_JING_KAN_TABLE / _RED_JING_ZHA_TABLE（计分引擎v3.py）</t>
  </si>
  <si>
    <t>· Python 黑精表：_BLACK_JING_KAN_TABLE / _BLACK_JING_ZHA_TABLE（计分引擎v3.py）</t>
  </si>
  <si>
    <t>· 校验：test_hu_tables_complete.js（含坎/扎/招全部组合）</t>
  </si>
  <si>
    <t>历史坑</t>
  </si>
  <si>
    <t>· JS 红精 kan 表曾缺纯精 3 条（1皮2花/2皮1花/3皮），靠兜底线性算对，2026-08-24 已补齐</t>
  </si>
  <si>
    <t>· JS 黑精 kan 表 key 曾为死条目（从未命中靠兜底），2026-08-24 已修正</t>
  </si>
  <si>
    <t>· 今后改动查表，请运行 bash hu_tests/run_all.sh 一键回归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</si>
</sst>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C00000"/>
      <name val="微软雅黑"/>
      <charset val="134"/>
    </font>
    <font>
      <sz val="11"/>
      <name val="微软雅黑"/>
      <charset val="134"/>
    </font>
    <font>
      <b/>
      <sz val="14"/>
      <color rgb="FFC00000"/>
      <name val="微软雅黑"/>
      <charset val="134"/>
    </font>
    <font>
      <i/>
      <sz val="10"/>
      <color rgb="FF808080"/>
      <name val="微软雅黑"/>
      <charset val="134"/>
    </font>
    <font>
      <b/>
      <sz val="12"/>
      <name val="微软雅黑"/>
      <charset val="134"/>
    </font>
    <font>
      <b/>
      <sz val="11"/>
      <color rgb="FFFFFFFF"/>
      <name val="微软雅黑"/>
      <charset val="134"/>
    </font>
    <font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红精坎牌胡数对比（非主精 vs 主精）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红精坎牌!$E$3</c:f>
              <c:strCache>
                <c:ptCount val="1"/>
                <c:pt idx="0">
                  <c:v>非主精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红精坎牌!$A$4:$A$11</c:f>
              <c:strCache>
                <c:ptCount val="8"/>
                <c:pt idx="0">
                  <c:v>1花2赖</c:v>
                </c:pt>
                <c:pt idx="1">
                  <c:v>2花1赖</c:v>
                </c:pt>
                <c:pt idx="2">
                  <c:v>1皮2花</c:v>
                </c:pt>
                <c:pt idx="3">
                  <c:v>1皮1花1赖</c:v>
                </c:pt>
                <c:pt idx="4">
                  <c:v>1皮2赖</c:v>
                </c:pt>
                <c:pt idx="5">
                  <c:v>2皮1花</c:v>
                </c:pt>
                <c:pt idx="6">
                  <c:v>2皮1赖</c:v>
                </c:pt>
                <c:pt idx="7">
                  <c:v>3皮</c:v>
                </c:pt>
              </c:strCache>
            </c:strRef>
          </c:cat>
          <c:val>
            <c:numRef>
              <c:f>红精坎牌!$E$4:$E$11</c:f>
              <c:numCache>
                <c:formatCode>General</c:formatCode>
                <c:ptCount val="8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</c:ser>
        <c:ser>
          <c:idx val="1"/>
          <c:order val="1"/>
          <c:tx>
            <c:strRef>
              <c:f>红精坎牌!$F$3</c:f>
              <c:strCache>
                <c:ptCount val="1"/>
                <c:pt idx="0">
                  <c:v>主精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红精坎牌!$A$4:$A$11</c:f>
              <c:strCache>
                <c:ptCount val="8"/>
                <c:pt idx="0">
                  <c:v>1花2赖</c:v>
                </c:pt>
                <c:pt idx="1">
                  <c:v>2花1赖</c:v>
                </c:pt>
                <c:pt idx="2">
                  <c:v>1皮2花</c:v>
                </c:pt>
                <c:pt idx="3">
                  <c:v>1皮1花1赖</c:v>
                </c:pt>
                <c:pt idx="4">
                  <c:v>1皮2赖</c:v>
                </c:pt>
                <c:pt idx="5">
                  <c:v>2皮1花</c:v>
                </c:pt>
                <c:pt idx="6">
                  <c:v>2皮1赖</c:v>
                </c:pt>
                <c:pt idx="7">
                  <c:v>3皮</c:v>
                </c:pt>
              </c:strCache>
            </c:strRef>
          </c:cat>
          <c:val>
            <c:numRef>
              <c:f>红精坎牌!$F$4:$F$11</c:f>
              <c:numCache>
                <c:formatCode>General</c:formatCode>
                <c:ptCount val="8"/>
                <c:pt idx="0">
                  <c:v>24</c:v>
                </c:pt>
                <c:pt idx="1">
                  <c:v>18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胡数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组合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b0586d-8567-44d4-bdfa-ceec8dd12fb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红精扎牌招牌胡数对比（非主精 vs 主精）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红精扎牌招牌!$E$3</c:f>
              <c:strCache>
                <c:ptCount val="1"/>
                <c:pt idx="0">
                  <c:v>非主精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红精扎牌招牌!$A$4:$A$11</c:f>
              <c:strCache>
                <c:ptCount val="8"/>
                <c:pt idx="0">
                  <c:v>2花2赖</c:v>
                </c:pt>
                <c:pt idx="1">
                  <c:v>1皮1花2赖</c:v>
                </c:pt>
                <c:pt idx="2">
                  <c:v>1皮2花1赖</c:v>
                </c:pt>
                <c:pt idx="3">
                  <c:v>2皮2花</c:v>
                </c:pt>
                <c:pt idx="4">
                  <c:v>2皮2赖</c:v>
                </c:pt>
                <c:pt idx="5">
                  <c:v>2皮1花1赖</c:v>
                </c:pt>
                <c:pt idx="6">
                  <c:v>3皮1花</c:v>
                </c:pt>
                <c:pt idx="7">
                  <c:v>3皮1赖</c:v>
                </c:pt>
              </c:strCache>
            </c:strRef>
          </c:cat>
          <c:val>
            <c:numRef>
              <c:f>红精扎牌招牌!$E$4:$E$11</c:f>
              <c:numCache>
                <c:formatCode>General</c:formatCode>
                <c:ptCount val="8"/>
                <c:pt idx="0">
                  <c:v>24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</c:numCache>
            </c:numRef>
          </c:val>
        </c:ser>
        <c:ser>
          <c:idx val="1"/>
          <c:order val="1"/>
          <c:tx>
            <c:strRef>
              <c:f>红精扎牌招牌!$F$3</c:f>
              <c:strCache>
                <c:ptCount val="1"/>
                <c:pt idx="0">
                  <c:v>主精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红精扎牌招牌!$A$4:$A$11</c:f>
              <c:strCache>
                <c:ptCount val="8"/>
                <c:pt idx="0">
                  <c:v>2花2赖</c:v>
                </c:pt>
                <c:pt idx="1">
                  <c:v>1皮1花2赖</c:v>
                </c:pt>
                <c:pt idx="2">
                  <c:v>1皮2花1赖</c:v>
                </c:pt>
                <c:pt idx="3">
                  <c:v>2皮2花</c:v>
                </c:pt>
                <c:pt idx="4">
                  <c:v>2皮2赖</c:v>
                </c:pt>
                <c:pt idx="5">
                  <c:v>2皮1花1赖</c:v>
                </c:pt>
                <c:pt idx="6">
                  <c:v>3皮1花</c:v>
                </c:pt>
                <c:pt idx="7">
                  <c:v>3皮1赖</c:v>
                </c:pt>
              </c:strCache>
            </c:strRef>
          </c:cat>
          <c:val>
            <c:numRef>
              <c:f>红精扎牌招牌!$F$4:$F$11</c:f>
              <c:numCache>
                <c:formatCode>General</c:formatCode>
                <c:ptCount val="8"/>
                <c:pt idx="0">
                  <c:v>48</c:v>
                </c:pt>
                <c:pt idx="1">
                  <c:v>36</c:v>
                </c:pt>
                <c:pt idx="2">
                  <c:v>36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24</c:v>
                </c:pt>
                <c:pt idx="7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胡数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组合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b148cd-1018-40b2-9b56-360f8520c52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2</xdr:row>
      <xdr:rowOff>0</xdr:rowOff>
    </xdr:from>
    <xdr:ext cx="6480000" cy="3021900"/>
    <xdr:graphicFrame>
      <xdr:nvGraphicFramePr>
        <xdr:cNvPr id="2" name="Chart 1"/>
        <xdr:cNvGraphicFramePr/>
      </xdr:nvGraphicFramePr>
      <xdr:xfrm>
        <a:off x="6076950" y="514350"/>
        <a:ext cx="6479540" cy="3021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2</xdr:row>
      <xdr:rowOff>0</xdr:rowOff>
    </xdr:from>
    <xdr:ext cx="6480000" cy="3021900"/>
    <xdr:graphicFrame>
      <xdr:nvGraphicFramePr>
        <xdr:cNvPr id="2" name="Chart 1"/>
        <xdr:cNvGraphicFramePr/>
      </xdr:nvGraphicFramePr>
      <xdr:xfrm>
        <a:off x="6076950" y="514350"/>
        <a:ext cx="6479540" cy="3021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:G1"/>
    </sheetView>
  </sheetViews>
  <sheetFormatPr defaultColWidth="9" defaultRowHeight="14" outlineLevelCol="6"/>
  <cols>
    <col min="1" max="1" width="14" customWidth="1"/>
    <col min="2" max="4" width="8" customWidth="1"/>
    <col min="5" max="6" width="10" customWidth="1"/>
    <col min="7" max="7" width="20" customWidth="1"/>
  </cols>
  <sheetData>
    <row r="1" ht="26" customHeight="1" spans="1:7">
      <c r="A1" s="3" t="s">
        <v>0</v>
      </c>
    </row>
    <row r="2" ht="14.5" spans="1:7">
      <c r="A2" s="4" t="s">
        <v>1</v>
      </c>
    </row>
    <row r="3" ht="22" customHeight="1" spans="1:7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ht="20" customHeight="1" spans="1:7">
      <c r="A4" s="9" t="s">
        <v>9</v>
      </c>
      <c r="B4" s="9">
        <v>0</v>
      </c>
      <c r="C4" s="9">
        <v>1</v>
      </c>
      <c r="D4" s="9">
        <v>2</v>
      </c>
      <c r="E4" s="9">
        <v>12</v>
      </c>
      <c r="F4" s="9">
        <f t="shared" ref="F4:F11" si="0">E4*2</f>
        <v>24</v>
      </c>
      <c r="G4" s="9" t="s">
        <v>10</v>
      </c>
    </row>
    <row r="5" ht="20" customHeight="1" spans="1:7">
      <c r="A5" s="7" t="s">
        <v>11</v>
      </c>
      <c r="B5" s="7">
        <v>0</v>
      </c>
      <c r="C5" s="7">
        <v>2</v>
      </c>
      <c r="D5" s="7">
        <v>1</v>
      </c>
      <c r="E5" s="7">
        <v>9</v>
      </c>
      <c r="F5" s="7">
        <f t="shared" si="0"/>
        <v>18</v>
      </c>
      <c r="G5" s="7" t="s">
        <v>12</v>
      </c>
    </row>
    <row r="6" ht="20" customHeight="1" spans="1:7">
      <c r="A6" s="7" t="s">
        <v>13</v>
      </c>
      <c r="B6" s="7">
        <v>1</v>
      </c>
      <c r="C6" s="7">
        <v>2</v>
      </c>
      <c r="D6" s="7">
        <v>0</v>
      </c>
      <c r="E6" s="7">
        <v>7</v>
      </c>
      <c r="F6" s="7">
        <f t="shared" si="0"/>
        <v>14</v>
      </c>
      <c r="G6" s="7" t="s">
        <v>14</v>
      </c>
    </row>
    <row r="7" ht="20" customHeight="1" spans="1:7">
      <c r="A7" s="7" t="s">
        <v>15</v>
      </c>
      <c r="B7" s="7">
        <v>1</v>
      </c>
      <c r="C7" s="7">
        <v>1</v>
      </c>
      <c r="D7" s="7">
        <v>1</v>
      </c>
      <c r="E7" s="7">
        <v>7</v>
      </c>
      <c r="F7" s="7">
        <f t="shared" si="0"/>
        <v>14</v>
      </c>
      <c r="G7" s="7" t="s">
        <v>16</v>
      </c>
    </row>
    <row r="8" ht="20" customHeight="1" spans="1:7">
      <c r="A8" s="7" t="s">
        <v>17</v>
      </c>
      <c r="B8" s="7">
        <v>1</v>
      </c>
      <c r="C8" s="7">
        <v>0</v>
      </c>
      <c r="D8" s="7">
        <v>2</v>
      </c>
      <c r="E8" s="7">
        <v>7</v>
      </c>
      <c r="F8" s="7">
        <f t="shared" si="0"/>
        <v>14</v>
      </c>
      <c r="G8" s="7" t="s">
        <v>18</v>
      </c>
    </row>
    <row r="9" ht="20" customHeight="1" spans="1:7">
      <c r="A9" s="7" t="s">
        <v>19</v>
      </c>
      <c r="B9" s="7">
        <v>2</v>
      </c>
      <c r="C9" s="7">
        <v>1</v>
      </c>
      <c r="D9" s="7">
        <v>0</v>
      </c>
      <c r="E9" s="7">
        <v>6</v>
      </c>
      <c r="F9" s="7">
        <f t="shared" si="0"/>
        <v>12</v>
      </c>
      <c r="G9" s="7" t="s">
        <v>20</v>
      </c>
    </row>
    <row r="10" ht="20" customHeight="1" spans="1:7">
      <c r="A10" s="7" t="s">
        <v>21</v>
      </c>
      <c r="B10" s="7">
        <v>2</v>
      </c>
      <c r="C10" s="7">
        <v>0</v>
      </c>
      <c r="D10" s="7">
        <v>1</v>
      </c>
      <c r="E10" s="7">
        <v>6</v>
      </c>
      <c r="F10" s="7">
        <f t="shared" si="0"/>
        <v>12</v>
      </c>
      <c r="G10" s="7" t="s">
        <v>22</v>
      </c>
    </row>
    <row r="11" ht="20" customHeight="1" spans="1:7">
      <c r="A11" s="7" t="s">
        <v>23</v>
      </c>
      <c r="B11" s="7">
        <v>3</v>
      </c>
      <c r="C11" s="7">
        <v>0</v>
      </c>
      <c r="D11" s="7">
        <v>0</v>
      </c>
      <c r="E11" s="7">
        <v>5</v>
      </c>
      <c r="F11" s="7">
        <f t="shared" si="0"/>
        <v>10</v>
      </c>
      <c r="G11" s="7" t="s">
        <v>24</v>
      </c>
    </row>
  </sheetData>
  <mergeCells count="2">
    <mergeCell ref="A1:G1"/>
    <mergeCell ref="A2:G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"/>
    </sheetView>
  </sheetViews>
  <sheetFormatPr defaultColWidth="9" defaultRowHeight="14" outlineLevelCol="6"/>
  <cols>
    <col min="1" max="1" width="14" customWidth="1"/>
    <col min="2" max="4" width="8" customWidth="1"/>
    <col min="5" max="6" width="10" customWidth="1"/>
    <col min="7" max="7" width="20" customWidth="1"/>
  </cols>
  <sheetData>
    <row r="1" ht="26" customHeight="1" spans="1:7">
      <c r="A1" s="3" t="s">
        <v>25</v>
      </c>
    </row>
    <row r="2" ht="14.5" spans="1:7">
      <c r="A2" s="4" t="s">
        <v>1</v>
      </c>
    </row>
    <row r="3" ht="22" customHeight="1" spans="1:7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ht="20" customHeight="1" spans="1:7">
      <c r="A4" s="9" t="s">
        <v>26</v>
      </c>
      <c r="B4" s="9">
        <v>0</v>
      </c>
      <c r="C4" s="9">
        <v>2</v>
      </c>
      <c r="D4" s="9">
        <v>2</v>
      </c>
      <c r="E4" s="9">
        <v>24</v>
      </c>
      <c r="F4" s="9">
        <f t="shared" ref="F4:F11" si="0">E4*2</f>
        <v>48</v>
      </c>
      <c r="G4" s="9" t="s">
        <v>27</v>
      </c>
    </row>
    <row r="5" ht="20" customHeight="1" spans="1:7">
      <c r="A5" s="7" t="s">
        <v>28</v>
      </c>
      <c r="B5" s="7">
        <v>1</v>
      </c>
      <c r="C5" s="7">
        <v>1</v>
      </c>
      <c r="D5" s="7">
        <v>2</v>
      </c>
      <c r="E5" s="7">
        <v>18</v>
      </c>
      <c r="F5" s="7">
        <f t="shared" si="0"/>
        <v>36</v>
      </c>
      <c r="G5" s="7" t="s">
        <v>29</v>
      </c>
    </row>
    <row r="6" ht="20" customHeight="1" spans="1:7">
      <c r="A6" s="7" t="s">
        <v>30</v>
      </c>
      <c r="B6" s="7">
        <v>1</v>
      </c>
      <c r="C6" s="7">
        <v>2</v>
      </c>
      <c r="D6" s="7">
        <v>1</v>
      </c>
      <c r="E6" s="7">
        <v>18</v>
      </c>
      <c r="F6" s="7">
        <f t="shared" si="0"/>
        <v>36</v>
      </c>
      <c r="G6" s="7" t="s">
        <v>31</v>
      </c>
    </row>
    <row r="7" ht="20" customHeight="1" spans="1:7">
      <c r="A7" s="7" t="s">
        <v>32</v>
      </c>
      <c r="B7" s="7">
        <v>2</v>
      </c>
      <c r="C7" s="7">
        <v>2</v>
      </c>
      <c r="D7" s="7">
        <v>0</v>
      </c>
      <c r="E7" s="7">
        <v>14</v>
      </c>
      <c r="F7" s="7">
        <f t="shared" si="0"/>
        <v>28</v>
      </c>
      <c r="G7" s="7" t="s">
        <v>33</v>
      </c>
    </row>
    <row r="8" ht="20" customHeight="1" spans="1:7">
      <c r="A8" s="7" t="s">
        <v>34</v>
      </c>
      <c r="B8" s="7">
        <v>2</v>
      </c>
      <c r="C8" s="7">
        <v>0</v>
      </c>
      <c r="D8" s="7">
        <v>2</v>
      </c>
      <c r="E8" s="7">
        <v>14</v>
      </c>
      <c r="F8" s="7">
        <f t="shared" si="0"/>
        <v>28</v>
      </c>
      <c r="G8" s="7" t="s">
        <v>35</v>
      </c>
    </row>
    <row r="9" ht="20" customHeight="1" spans="1:7">
      <c r="A9" s="7" t="s">
        <v>36</v>
      </c>
      <c r="B9" s="7">
        <v>2</v>
      </c>
      <c r="C9" s="7">
        <v>1</v>
      </c>
      <c r="D9" s="7">
        <v>1</v>
      </c>
      <c r="E9" s="7">
        <v>14</v>
      </c>
      <c r="F9" s="7">
        <f t="shared" si="0"/>
        <v>28</v>
      </c>
      <c r="G9" s="7" t="s">
        <v>37</v>
      </c>
    </row>
    <row r="10" ht="20" customHeight="1" spans="1:7">
      <c r="A10" s="7" t="s">
        <v>38</v>
      </c>
      <c r="B10" s="7">
        <v>3</v>
      </c>
      <c r="C10" s="7">
        <v>1</v>
      </c>
      <c r="D10" s="7">
        <v>0</v>
      </c>
      <c r="E10" s="7">
        <v>12</v>
      </c>
      <c r="F10" s="7">
        <f t="shared" si="0"/>
        <v>24</v>
      </c>
      <c r="G10" s="7" t="s">
        <v>39</v>
      </c>
    </row>
    <row r="11" ht="20" customHeight="1" spans="1:7">
      <c r="A11" s="7" t="s">
        <v>40</v>
      </c>
      <c r="B11" s="7">
        <v>3</v>
      </c>
      <c r="C11" s="7">
        <v>0</v>
      </c>
      <c r="D11" s="7">
        <v>1</v>
      </c>
      <c r="E11" s="7">
        <v>12</v>
      </c>
      <c r="F11" s="7">
        <f t="shared" si="0"/>
        <v>24</v>
      </c>
      <c r="G11" s="7" t="s">
        <v>41</v>
      </c>
    </row>
  </sheetData>
  <mergeCells count="2">
    <mergeCell ref="A1:G1"/>
    <mergeCell ref="A2:G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23" sqref="E23"/>
    </sheetView>
  </sheetViews>
  <sheetFormatPr defaultColWidth="9" defaultRowHeight="14" outlineLevelCol="5"/>
  <cols>
    <col min="1" max="1" width="16" customWidth="1"/>
    <col min="2" max="3" width="8" customWidth="1"/>
    <col min="4" max="4" width="10" customWidth="1"/>
    <col min="5" max="5" width="23.4545454545455" customWidth="1"/>
    <col min="6" max="6" width="20" customWidth="1"/>
  </cols>
  <sheetData>
    <row r="1" ht="26" customHeight="1" spans="1:5">
      <c r="A1" s="3" t="s">
        <v>42</v>
      </c>
    </row>
    <row r="2" ht="14.5" spans="1:5">
      <c r="A2" s="4" t="s">
        <v>43</v>
      </c>
    </row>
    <row r="4" ht="16.5" spans="1:5">
      <c r="A4" s="5" t="s">
        <v>44</v>
      </c>
    </row>
    <row r="5" ht="16.5" spans="1:5">
      <c r="A5" s="6" t="s">
        <v>2</v>
      </c>
      <c r="B5" s="6" t="s">
        <v>3</v>
      </c>
      <c r="C5" s="6" t="s">
        <v>4</v>
      </c>
      <c r="D5" s="6" t="s">
        <v>45</v>
      </c>
      <c r="E5" s="6" t="s">
        <v>8</v>
      </c>
    </row>
    <row r="6" ht="16.5" spans="1:5">
      <c r="A6" s="7" t="s">
        <v>13</v>
      </c>
      <c r="B6" s="7">
        <v>1</v>
      </c>
      <c r="C6" s="7">
        <v>2</v>
      </c>
      <c r="D6" s="7">
        <v>3</v>
      </c>
      <c r="E6" s="7" t="s">
        <v>14</v>
      </c>
    </row>
    <row r="7" ht="16.5" spans="1:5">
      <c r="A7" s="7" t="s">
        <v>19</v>
      </c>
      <c r="B7" s="7">
        <v>2</v>
      </c>
      <c r="C7" s="7">
        <v>1</v>
      </c>
      <c r="D7" s="7">
        <v>2</v>
      </c>
      <c r="E7" s="7" t="s">
        <v>20</v>
      </c>
    </row>
    <row r="8" ht="16.5" spans="1:5">
      <c r="A8" s="7" t="s">
        <v>23</v>
      </c>
      <c r="B8" s="7">
        <v>3</v>
      </c>
      <c r="C8" s="7">
        <v>0</v>
      </c>
      <c r="D8" s="7">
        <v>1</v>
      </c>
      <c r="E8" s="7" t="s">
        <v>24</v>
      </c>
    </row>
    <row r="10" ht="16.5" spans="1:5">
      <c r="A10" s="5" t="s">
        <v>46</v>
      </c>
    </row>
    <row r="11" ht="16.5" spans="1:5">
      <c r="A11" s="6" t="s">
        <v>2</v>
      </c>
      <c r="B11" s="6" t="s">
        <v>3</v>
      </c>
      <c r="C11" s="6" t="s">
        <v>4</v>
      </c>
      <c r="D11" s="6" t="s">
        <v>45</v>
      </c>
      <c r="E11" s="6" t="s">
        <v>8</v>
      </c>
    </row>
    <row r="12" ht="16.5" spans="1:5">
      <c r="A12" s="7" t="s">
        <v>38</v>
      </c>
      <c r="B12" s="7">
        <v>3</v>
      </c>
      <c r="C12" s="7">
        <v>1</v>
      </c>
      <c r="D12" s="7">
        <v>3</v>
      </c>
      <c r="E12" s="7" t="s">
        <v>39</v>
      </c>
    </row>
    <row r="13" ht="16.5" spans="1:5">
      <c r="A13" s="7" t="s">
        <v>32</v>
      </c>
      <c r="B13" s="7">
        <v>2</v>
      </c>
      <c r="C13" s="7">
        <v>2</v>
      </c>
      <c r="D13" s="7">
        <v>4</v>
      </c>
      <c r="E13" s="7" t="s">
        <v>33</v>
      </c>
    </row>
    <row r="15" ht="16" customHeight="1" spans="1:5">
      <c r="A15" s="8" t="s">
        <v>47</v>
      </c>
    </row>
    <row r="17" ht="16.5" spans="1:6">
      <c r="A17" s="5" t="s">
        <v>48</v>
      </c>
    </row>
    <row r="18" ht="16.5" spans="1:6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52</v>
      </c>
      <c r="F18" s="6" t="s">
        <v>52</v>
      </c>
    </row>
    <row r="19" ht="16.5" spans="1:6">
      <c r="A19" s="7" t="s">
        <v>53</v>
      </c>
      <c r="B19" s="7">
        <v>2</v>
      </c>
      <c r="C19" s="7">
        <v>1</v>
      </c>
      <c r="D19" s="7" t="s">
        <v>52</v>
      </c>
      <c r="E19" s="7" t="s">
        <v>52</v>
      </c>
      <c r="F19" s="7" t="s">
        <v>52</v>
      </c>
    </row>
    <row r="20" ht="33" spans="1:6">
      <c r="A20" s="7" t="s">
        <v>54</v>
      </c>
      <c r="B20" s="7">
        <v>4</v>
      </c>
      <c r="C20" s="7">
        <v>2</v>
      </c>
      <c r="D20" s="7" t="s">
        <v>52</v>
      </c>
      <c r="E20" s="7" t="s">
        <v>52</v>
      </c>
      <c r="F20" s="7" t="s">
        <v>52</v>
      </c>
    </row>
  </sheetData>
  <mergeCells count="6">
    <mergeCell ref="A1:F1"/>
    <mergeCell ref="A2:F2"/>
    <mergeCell ref="A4:F4"/>
    <mergeCell ref="A10:F10"/>
    <mergeCell ref="A15:E15"/>
    <mergeCell ref="A17:F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9"/>
  <sheetViews>
    <sheetView workbookViewId="0">
      <selection activeCell="A1" sqref="A1"/>
    </sheetView>
  </sheetViews>
  <sheetFormatPr defaultColWidth="9" defaultRowHeight="14" outlineLevelCol="1"/>
  <cols>
    <col min="1" max="1" width="6" customWidth="1"/>
    <col min="2" max="2" width="90" customWidth="1"/>
  </cols>
  <sheetData>
    <row r="1" ht="20" customHeight="1" spans="2:2">
      <c r="B1" s="1" t="s">
        <v>55</v>
      </c>
    </row>
    <row r="2" ht="18" customHeight="1" spans="2:2">
      <c r="B2" s="2" t="s">
        <v>56</v>
      </c>
    </row>
    <row r="3" ht="18" customHeight="1" spans="2:2">
      <c r="B3" s="2" t="s">
        <v>57</v>
      </c>
    </row>
    <row r="4" ht="18" customHeight="1" spans="2:2">
      <c r="B4" s="2" t="s">
        <v>58</v>
      </c>
    </row>
    <row r="5" ht="18" customHeight="1" spans="2:2">
      <c r="B5" s="2" t="s">
        <v>59</v>
      </c>
    </row>
    <row r="6" ht="18" customHeight="1" spans="2:2">
      <c r="B6" s="2" t="s">
        <v>60</v>
      </c>
    </row>
    <row r="7" ht="18" customHeight="1" spans="2:2">
      <c r="B7" s="2" t="s">
        <v>61</v>
      </c>
    </row>
    <row r="9" ht="20" customHeight="1" spans="2:2">
      <c r="B9" s="1" t="s">
        <v>62</v>
      </c>
    </row>
    <row r="10" ht="18" customHeight="1" spans="2:2">
      <c r="B10" s="2" t="s">
        <v>63</v>
      </c>
    </row>
    <row r="11" ht="18" customHeight="1" spans="2:2">
      <c r="B11" s="2" t="s">
        <v>64</v>
      </c>
    </row>
    <row r="12" ht="18" customHeight="1" spans="2:2">
      <c r="B12" s="2" t="s">
        <v>65</v>
      </c>
    </row>
    <row r="13" ht="18" customHeight="1" spans="2:2">
      <c r="B13" s="2" t="s">
        <v>66</v>
      </c>
    </row>
    <row r="14" ht="18" customHeight="1" spans="2:2">
      <c r="B14" s="2" t="s">
        <v>67</v>
      </c>
    </row>
    <row r="16" ht="20" customHeight="1" spans="2:2">
      <c r="B16" s="1" t="s">
        <v>68</v>
      </c>
    </row>
    <row r="17" ht="18" customHeight="1" spans="2:2">
      <c r="B17" s="2" t="s">
        <v>69</v>
      </c>
    </row>
    <row r="18" ht="18" customHeight="1" spans="2:2">
      <c r="B18" s="2" t="s">
        <v>70</v>
      </c>
    </row>
    <row r="19" ht="18" customHeight="1" spans="2:2">
      <c r="B19" s="2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红精坎牌</vt:lpstr>
      <vt:lpstr>红精扎牌招牌</vt:lpstr>
      <vt:lpstr>黑精与基础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wsmcmtlg</cp:lastModifiedBy>
  <dcterms:created xsi:type="dcterms:W3CDTF">2026-08-24T14:01:00Z</dcterms:created>
  <dcterms:modified xsi:type="dcterms:W3CDTF">2026-08-24T14:02:39Z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27C99689AD544945B4D541E106A827F1_12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